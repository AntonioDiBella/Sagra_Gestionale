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626" codeName="{62F9E958-00F4-224C-1CEB-3A4BEE276A53}"/>
  <workbookPr codeName="Questa_cartella_di_lavoro" defaultThemeVersion="166925"/>
  <mc:AlternateContent xmlns:mc="http://schemas.openxmlformats.org/markup-compatibility/2006">
    <mc:Choice Requires="x15">
      <x15ac:absPath xmlns:x15ac="http://schemas.microsoft.com/office/spreadsheetml/2010/11/ac" url="D:\SagraSujaca\"/>
    </mc:Choice>
  </mc:AlternateContent>
  <xr:revisionPtr revIDLastSave="0" documentId="13_ncr:1_{281B2FAE-B12A-43E7-83A3-661777913A61}" xr6:coauthVersionLast="47" xr6:coauthVersionMax="47" xr10:uidLastSave="{00000000-0000-0000-0000-000000000000}"/>
  <bookViews>
    <workbookView xWindow="-108" yWindow="-108" windowWidth="23256" windowHeight="12456" xr2:uid="{00000000-000D-0000-FFFF-FFFF00000000}"/>
  </bookViews>
  <sheets>
    <sheet name="Foglio1" sheetId="1" r:id="rId1"/>
  </sheets>
  <definedNames>
    <definedName name="_xlnm.Print_Area" localSheetId="0">Foglio1!$Y$40:$Y$42</definedName>
  </definedName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28" i="1" l="1"/>
  <c r="C24" i="1" l="1"/>
  <c r="C23" i="1"/>
  <c r="C22" i="1"/>
  <c r="C21" i="1"/>
  <c r="C20" i="1"/>
  <c r="C19" i="1"/>
  <c r="C18" i="1"/>
  <c r="C17" i="1"/>
  <c r="C16" i="1"/>
  <c r="C15" i="1"/>
  <c r="C14" i="1"/>
  <c r="C13" i="1"/>
  <c r="C12" i="1"/>
  <c r="T25" i="1" l="1"/>
  <c r="C26" i="1" l="1"/>
  <c r="T29" i="1"/>
  <c r="C30" i="1" l="1"/>
</calcChain>
</file>

<file path=xl/sharedStrings.xml><?xml version="1.0" encoding="utf-8"?>
<sst xmlns="http://schemas.openxmlformats.org/spreadsheetml/2006/main" count="54" uniqueCount="41">
  <si>
    <r>
      <rPr>
        <b/>
        <sz val="26"/>
        <color theme="1"/>
        <rFont val="Calibri"/>
        <family val="2"/>
        <scheme val="minor"/>
      </rPr>
      <t>ASSOCIAZIONE CULTURALE CHERIA</t>
    </r>
    <r>
      <rPr>
        <sz val="11"/>
        <color theme="1"/>
        <rFont val="Calibri"/>
        <family val="2"/>
        <scheme val="minor"/>
      </rPr>
      <t xml:space="preserve">
Località Fontana snc - 89862 Caria (VV)
C.F. 96043130796</t>
    </r>
  </si>
  <si>
    <t xml:space="preserve">Cassa numero: </t>
  </si>
  <si>
    <t>Panino</t>
  </si>
  <si>
    <t>Birra</t>
  </si>
  <si>
    <t>Lattina</t>
  </si>
  <si>
    <t>Acqua</t>
  </si>
  <si>
    <t>Bicchiere di vino</t>
  </si>
  <si>
    <t>Pannocchia</t>
  </si>
  <si>
    <t>Anguria</t>
  </si>
  <si>
    <t>Sujaca scianghiata</t>
  </si>
  <si>
    <t>Bottiglia di Vino</t>
  </si>
  <si>
    <t>TOTALE</t>
  </si>
  <si>
    <t>CONTANTI RITIRATI</t>
  </si>
  <si>
    <t>ATTIVO IN CASSA</t>
  </si>
  <si>
    <t>Quantità</t>
  </si>
  <si>
    <t>Euro</t>
  </si>
  <si>
    <t>RESOCONTO</t>
  </si>
  <si>
    <t>RITIRO CONTANTI</t>
  </si>
  <si>
    <t>Nome-Cognome</t>
  </si>
  <si>
    <t>Euro ritirati</t>
  </si>
  <si>
    <t>RICEVUTA</t>
  </si>
  <si>
    <t>CONTANTI</t>
  </si>
  <si>
    <t>RESTO</t>
  </si>
  <si>
    <t>Bicc di Vino</t>
  </si>
  <si>
    <t>Scianghiata</t>
  </si>
  <si>
    <t>Bot di vino</t>
  </si>
  <si>
    <t>Sangria</t>
  </si>
  <si>
    <t>Menù</t>
  </si>
  <si>
    <t xml:space="preserve">Birra            €3                  1_x000D_
_x000D_
</t>
  </si>
  <si>
    <t>Menù Parziale</t>
  </si>
  <si>
    <t xml:space="preserve">Menù Parziale         €8             1_x000D_
</t>
  </si>
  <si>
    <t>Nome Operatori:</t>
  </si>
  <si>
    <t>0</t>
  </si>
  <si>
    <t xml:space="preserve">Scianghiata         €5             1_x000D_
</t>
  </si>
  <si>
    <t xml:space="preserve">Sangria         €2,5             1_x000D_
</t>
  </si>
  <si>
    <t>RESOCONTO CASSA SAGRA DA SUJACA 2023</t>
  </si>
  <si>
    <t xml:space="preserve">
Pannocchia       €2          1_x000D_
Anguria             €1            1_x000D_
</t>
  </si>
  <si>
    <t>Panino Peperonata</t>
  </si>
  <si>
    <t xml:space="preserve">
Lattina        €2             1_x000D_
Acqua           €1             1_x000D_
Bicc di Vino       €1        11_x000D_
Bot di vino       €5          1_x000D_
</t>
  </si>
  <si>
    <t xml:space="preserve">
Panino             €5                1_x000D_
Panino Peperonata  €6     1_x000D_
</t>
  </si>
  <si>
    <t xml:space="preserve">
Menù Parziale       €8        1_x000D_
TOTALE                            €8_x000D_
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</si>
</sst>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&quot;€&quot;#,##0.00_);\(&quot;€&quot;#,##0.00\)"/>
    <numFmt numFmtId="165" formatCode="&quot;€&quot;#,##0.00_);[Red]\(&quot;€&quot;#,##0.00\)"/>
    <numFmt numFmtId="166" formatCode="_(&quot;€&quot;* #,##0.00_);_(&quot;€&quot;* \(#,##0.00\);_(&quot;€&quot;* &quot;-&quot;??_);_(@_)"/>
    <numFmt numFmtId="167" formatCode="_-* #,##0.00\ [$€-410]_-;\-* #,##0.00\ [$€-410]_-;_-* &quot;-&quot;??\ [$€-410]_-;_-@_-"/>
  </numFmts>
  <fonts count="11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26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22"/>
      <color theme="1"/>
      <name val="Calibri"/>
      <family val="2"/>
      <scheme val="minor"/>
    </font>
    <font>
      <sz val="14"/>
      <color theme="1"/>
      <name val="Algerian"/>
      <family val="5"/>
    </font>
    <font>
      <sz val="16"/>
      <color theme="1"/>
      <name val="Algerian"/>
      <family val="5"/>
    </font>
    <font>
      <u/>
      <sz val="11"/>
      <color theme="1"/>
      <name val="Calibri"/>
      <family val="2"/>
      <scheme val="minor"/>
    </font>
    <font>
      <sz val="16"/>
      <color theme="1"/>
      <name val="Arial Rounded MT Bold"/>
      <family val="2"/>
    </font>
    <font>
      <b/>
      <sz val="12"/>
      <color theme="1"/>
      <name val="Century"/>
      <family val="1"/>
    </font>
  </fonts>
  <fills count="5">
    <fill>
      <patternFill patternType="none"/>
    </fill>
    <fill>
      <patternFill patternType="gray125"/>
    </fill>
    <fill>
      <patternFill patternType="solid">
        <fgColor theme="8" tint="0.79998168889431442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9" tint="0.59999389629810485"/>
        <bgColor indexed="64"/>
      </patternFill>
    </fill>
  </fills>
  <borders count="17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55">
    <xf numFmtId="0" fontId="0" fillId="0" borderId="0" xfId="0"/>
    <xf numFmtId="0" fontId="1" fillId="0" borderId="0" xfId="0" applyFont="1"/>
    <xf numFmtId="166" fontId="0" fillId="0" borderId="0" xfId="0" applyNumberFormat="1"/>
    <xf numFmtId="0" fontId="4" fillId="0" borderId="0" xfId="0" applyFont="1"/>
    <xf numFmtId="0" fontId="2" fillId="0" borderId="0" xfId="0" applyFont="1"/>
    <xf numFmtId="165" fontId="2" fillId="0" borderId="0" xfId="0" applyNumberFormat="1" applyFont="1"/>
    <xf numFmtId="164" fontId="0" fillId="0" borderId="0" xfId="0" applyNumberFormat="1"/>
    <xf numFmtId="0" fontId="0" fillId="0" borderId="0" xfId="0" applyAlignment="1">
      <alignment vertical="center"/>
    </xf>
    <xf numFmtId="0" fontId="1" fillId="0" borderId="0" xfId="0" applyFont="1" applyAlignment="1">
      <alignment vertical="center"/>
    </xf>
    <xf numFmtId="0" fontId="0" fillId="0" borderId="0" xfId="0" applyAlignment="1">
      <alignment wrapText="1"/>
    </xf>
    <xf numFmtId="0" fontId="6" fillId="0" borderId="0" xfId="0" applyFont="1" applyAlignment="1">
      <alignment wrapText="1"/>
    </xf>
    <xf numFmtId="0" fontId="7" fillId="0" borderId="0" xfId="0" applyFont="1" applyAlignment="1">
      <alignment horizontal="center" vertical="center" wrapText="1"/>
    </xf>
    <xf numFmtId="0" fontId="4" fillId="0" borderId="0" xfId="0" applyFont="1" applyAlignment="1">
      <alignment vertical="center"/>
    </xf>
    <xf numFmtId="0" fontId="2" fillId="0" borderId="0" xfId="0" applyFont="1" applyAlignment="1">
      <alignment vertical="center"/>
    </xf>
    <xf numFmtId="0" fontId="8" fillId="0" borderId="0" xfId="0" applyFont="1"/>
    <xf numFmtId="0" fontId="0" fillId="0" borderId="0" xfId="0" applyAlignment="1">
      <alignment vertical="center" wrapText="1"/>
    </xf>
    <xf numFmtId="0" fontId="5" fillId="0" borderId="0" xfId="0" applyFont="1" applyAlignment="1">
      <alignment vertical="center"/>
    </xf>
    <xf numFmtId="0" fontId="9" fillId="0" borderId="0" xfId="0" applyFont="1" applyAlignment="1">
      <alignment horizontal="center" vertical="center"/>
    </xf>
    <xf numFmtId="0" fontId="10" fillId="0" borderId="0" xfId="0" applyFont="1" applyAlignment="1">
      <alignment horizontal="left" wrapText="1"/>
    </xf>
    <xf numFmtId="0" fontId="10" fillId="0" borderId="0" xfId="0" applyFont="1" applyAlignment="1">
      <alignment vertical="center" wrapText="1"/>
    </xf>
    <xf numFmtId="167" fontId="0" fillId="0" borderId="0" xfId="0" applyNumberFormat="1"/>
    <xf numFmtId="0" fontId="1" fillId="3" borderId="0" xfId="0" applyFont="1" applyFill="1" applyAlignment="1">
      <alignment horizontal="center"/>
    </xf>
    <xf numFmtId="0" fontId="0" fillId="3" borderId="0" xfId="0" applyFill="1" applyAlignment="1">
      <alignment horizontal="center"/>
    </xf>
    <xf numFmtId="0" fontId="0" fillId="0" borderId="1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7" xfId="0" applyBorder="1" applyAlignment="1">
      <alignment horizontal="center"/>
    </xf>
    <xf numFmtId="0" fontId="0" fillId="0" borderId="8" xfId="0" applyBorder="1" applyAlignment="1">
      <alignment horizontal="center"/>
    </xf>
    <xf numFmtId="0" fontId="0" fillId="0" borderId="4" xfId="0" applyBorder="1" applyAlignment="1">
      <alignment horizontal="center"/>
    </xf>
    <xf numFmtId="0" fontId="0" fillId="0" borderId="6" xfId="0" applyBorder="1" applyAlignment="1">
      <alignment horizontal="center"/>
    </xf>
    <xf numFmtId="0" fontId="4" fillId="0" borderId="9" xfId="0" applyFont="1" applyBorder="1" applyAlignment="1">
      <alignment horizontal="center"/>
    </xf>
    <xf numFmtId="0" fontId="4" fillId="0" borderId="10" xfId="0" applyFont="1" applyBorder="1" applyAlignment="1">
      <alignment horizontal="center"/>
    </xf>
    <xf numFmtId="0" fontId="4" fillId="0" borderId="12" xfId="0" applyFont="1" applyBorder="1" applyAlignment="1">
      <alignment horizontal="center"/>
    </xf>
    <xf numFmtId="0" fontId="4" fillId="0" borderId="13" xfId="0" applyFont="1" applyBorder="1" applyAlignment="1">
      <alignment horizontal="center"/>
    </xf>
    <xf numFmtId="0" fontId="4" fillId="0" borderId="14" xfId="0" applyFont="1" applyBorder="1" applyAlignment="1">
      <alignment horizontal="center"/>
    </xf>
    <xf numFmtId="0" fontId="4" fillId="4" borderId="0" xfId="0" applyFont="1" applyFill="1" applyAlignment="1">
      <alignment horizontal="center" vertical="center"/>
    </xf>
    <xf numFmtId="0" fontId="4" fillId="2" borderId="0" xfId="0" applyFont="1" applyFill="1" applyAlignment="1">
      <alignment horizontal="center"/>
    </xf>
    <xf numFmtId="0" fontId="0" fillId="0" borderId="1" xfId="0" applyBorder="1" applyAlignment="1">
      <alignment horizontal="center" vertical="center" wrapText="1"/>
    </xf>
    <xf numFmtId="0" fontId="0" fillId="0" borderId="2" xfId="0" applyBorder="1" applyAlignment="1">
      <alignment horizontal="center" vertical="center" wrapText="1"/>
    </xf>
    <xf numFmtId="0" fontId="0" fillId="0" borderId="3" xfId="0" applyBorder="1" applyAlignment="1">
      <alignment horizontal="center" vertical="center" wrapText="1"/>
    </xf>
    <xf numFmtId="0" fontId="0" fillId="0" borderId="7" xfId="0" applyBorder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0" fillId="0" borderId="8" xfId="0" applyBorder="1" applyAlignment="1">
      <alignment horizontal="center" vertical="center" wrapText="1"/>
    </xf>
    <xf numFmtId="0" fontId="0" fillId="0" borderId="4" xfId="0" applyBorder="1" applyAlignment="1">
      <alignment horizontal="center" vertical="center" wrapText="1"/>
    </xf>
    <xf numFmtId="0" fontId="0" fillId="0" borderId="5" xfId="0" applyBorder="1" applyAlignment="1">
      <alignment horizontal="center" vertical="center" wrapText="1"/>
    </xf>
    <xf numFmtId="0" fontId="0" fillId="0" borderId="6" xfId="0" applyBorder="1" applyAlignment="1">
      <alignment horizontal="center" vertical="center" wrapText="1"/>
    </xf>
    <xf numFmtId="0" fontId="5" fillId="0" borderId="1" xfId="0" applyFont="1" applyBorder="1" applyAlignment="1">
      <alignment horizontal="center" vertical="center"/>
    </xf>
    <xf numFmtId="0" fontId="5" fillId="0" borderId="2" xfId="0" applyFont="1" applyBorder="1" applyAlignment="1">
      <alignment horizontal="center" vertical="center"/>
    </xf>
    <xf numFmtId="0" fontId="5" fillId="0" borderId="3" xfId="0" applyFont="1" applyBorder="1" applyAlignment="1">
      <alignment horizontal="center" vertical="center"/>
    </xf>
    <xf numFmtId="0" fontId="5" fillId="0" borderId="7" xfId="0" applyFont="1" applyBorder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5" fillId="0" borderId="8" xfId="0" applyFont="1" applyBorder="1" applyAlignment="1">
      <alignment horizontal="center" vertical="center"/>
    </xf>
    <xf numFmtId="0" fontId="2" fillId="0" borderId="10" xfId="0" applyFont="1" applyBorder="1" applyAlignment="1">
      <alignment horizontal="center"/>
    </xf>
    <xf numFmtId="0" fontId="2" fillId="0" borderId="11" xfId="0" applyFont="1" applyBorder="1" applyAlignment="1">
      <alignment horizontal="center"/>
    </xf>
    <xf numFmtId="0" fontId="2" fillId="0" borderId="15" xfId="0" applyFont="1" applyBorder="1" applyAlignment="1">
      <alignment horizontal="center"/>
    </xf>
    <xf numFmtId="0" fontId="2" fillId="0" borderId="16" xfId="0" applyFont="1" applyBorder="1" applyAlignment="1">
      <alignment horizontal="center"/>
    </xf>
  </cellXfs>
  <cellStyles count="1">
    <cellStyle name="Normale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1</xdr:col>
      <xdr:colOff>556260</xdr:colOff>
      <xdr:row>5</xdr:row>
      <xdr:rowOff>0</xdr:rowOff>
    </xdr:to>
    <xdr:pic>
      <xdr:nvPicPr>
        <xdr:cNvPr id="2" name="Immagin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1994535" cy="952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26</xdr:col>
      <xdr:colOff>364925</xdr:colOff>
      <xdr:row>114</xdr:row>
      <xdr:rowOff>147506</xdr:rowOff>
    </xdr:from>
    <xdr:to>
      <xdr:col>26</xdr:col>
      <xdr:colOff>1899335</xdr:colOff>
      <xdr:row>115</xdr:row>
      <xdr:rowOff>592668</xdr:rowOff>
    </xdr:to>
    <xdr:pic>
      <xdr:nvPicPr>
        <xdr:cNvPr id="10" name="Immagine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7915458" y="22584173"/>
          <a:ext cx="1534410" cy="733028"/>
        </a:xfrm>
        <a:prstGeom prst="rect">
          <a:avLst/>
        </a:prstGeom>
      </xdr:spPr>
    </xdr:pic>
    <xdr:clientData/>
  </xdr:twoCellAnchor>
  <xdr:oneCellAnchor>
    <xdr:from>
      <xdr:col>26</xdr:col>
      <xdr:colOff>0</xdr:colOff>
      <xdr:row>113</xdr:row>
      <xdr:rowOff>0</xdr:rowOff>
    </xdr:from>
    <xdr:ext cx="2264846" cy="510725"/>
    <xdr:sp macro="" textlink="">
      <xdr:nvSpPr>
        <xdr:cNvPr id="12" name="Rettangolo 11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SpPr/>
      </xdr:nvSpPr>
      <xdr:spPr>
        <a:xfrm>
          <a:off x="21648420" y="22303740"/>
          <a:ext cx="2264846" cy="510725"/>
        </a:xfrm>
        <a:prstGeom prst="rect">
          <a:avLst/>
        </a:prstGeom>
        <a:noFill/>
      </xdr:spPr>
      <xdr:txBody>
        <a:bodyPr wrap="none" lIns="91440" tIns="45720" rIns="91440" bIns="45720">
          <a:prstTxWarp prst="textDeflate">
            <a:avLst/>
          </a:prstTxWarp>
          <a:spAutoFit/>
        </a:bodyPr>
        <a:lstStyle/>
        <a:p>
          <a:pPr algn="ctr"/>
          <a:r>
            <a:rPr lang="it-IT" sz="5400" b="1" cap="none" spc="0">
              <a:ln w="9525">
                <a:solidFill>
                  <a:schemeClr val="bg1"/>
                </a:solidFill>
                <a:prstDash val="solid"/>
              </a:ln>
              <a:solidFill>
                <a:schemeClr val="tx1"/>
              </a:solidFill>
              <a:effectLst>
                <a:outerShdw blurRad="12700" dist="38100" dir="2700000" algn="tl" rotWithShape="0">
                  <a:schemeClr val="bg1">
                    <a:lumMod val="50000"/>
                  </a:schemeClr>
                </a:outerShdw>
              </a:effectLst>
              <a:latin typeface="+mn-lt"/>
            </a:rPr>
            <a:t>SAGRA</a:t>
          </a:r>
          <a:r>
            <a:rPr lang="it-IT" sz="5400" b="1" cap="none" spc="0" baseline="0">
              <a:ln w="9525">
                <a:solidFill>
                  <a:schemeClr val="bg1"/>
                </a:solidFill>
                <a:prstDash val="solid"/>
              </a:ln>
              <a:solidFill>
                <a:schemeClr val="tx1"/>
              </a:solidFill>
              <a:effectLst>
                <a:outerShdw blurRad="12700" dist="38100" dir="2700000" algn="tl" rotWithShape="0">
                  <a:schemeClr val="bg1">
                    <a:lumMod val="50000"/>
                  </a:schemeClr>
                </a:outerShdw>
              </a:effectLst>
              <a:latin typeface="+mn-lt"/>
            </a:rPr>
            <a:t> DA SUJACA</a:t>
          </a:r>
          <a:endParaRPr lang="it-IT" sz="5400" b="1" cap="none" spc="0">
            <a:ln w="9525">
              <a:solidFill>
                <a:schemeClr val="bg1"/>
              </a:solidFill>
              <a:prstDash val="solid"/>
            </a:ln>
            <a:solidFill>
              <a:schemeClr val="tx1"/>
            </a:solidFill>
            <a:effectLst>
              <a:outerShdw blurRad="12700" dist="38100" dir="2700000" algn="tl" rotWithShape="0">
                <a:schemeClr val="bg1">
                  <a:lumMod val="50000"/>
                </a:schemeClr>
              </a:outerShdw>
            </a:effectLst>
            <a:latin typeface="+mn-lt"/>
          </a:endParaRPr>
        </a:p>
      </xdr:txBody>
    </xdr:sp>
    <xdr:clientData/>
  </xdr:oneCellAnchor>
  <xdr:twoCellAnchor editAs="oneCell">
    <xdr:from>
      <xdr:col>27</xdr:col>
      <xdr:colOff>381858</xdr:colOff>
      <xdr:row>114</xdr:row>
      <xdr:rowOff>206772</xdr:rowOff>
    </xdr:from>
    <xdr:to>
      <xdr:col>27</xdr:col>
      <xdr:colOff>1998134</xdr:colOff>
      <xdr:row>115</xdr:row>
      <xdr:rowOff>691044</xdr:rowOff>
    </xdr:to>
    <xdr:pic>
      <xdr:nvPicPr>
        <xdr:cNvPr id="13" name="Immagine 12"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4155391" y="22643439"/>
          <a:ext cx="1616276" cy="772138"/>
        </a:xfrm>
        <a:prstGeom prst="rect">
          <a:avLst/>
        </a:prstGeom>
      </xdr:spPr>
    </xdr:pic>
    <xdr:clientData/>
  </xdr:twoCellAnchor>
  <xdr:oneCellAnchor>
    <xdr:from>
      <xdr:col>27</xdr:col>
      <xdr:colOff>0</xdr:colOff>
      <xdr:row>113</xdr:row>
      <xdr:rowOff>0</xdr:rowOff>
    </xdr:from>
    <xdr:ext cx="2264846" cy="510725"/>
    <xdr:sp macro="" textlink="">
      <xdr:nvSpPr>
        <xdr:cNvPr id="14" name="Rettangolo 13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SpPr/>
      </xdr:nvSpPr>
      <xdr:spPr>
        <a:xfrm>
          <a:off x="24124920" y="22303740"/>
          <a:ext cx="2264846" cy="510725"/>
        </a:xfrm>
        <a:prstGeom prst="rect">
          <a:avLst/>
        </a:prstGeom>
        <a:noFill/>
      </xdr:spPr>
      <xdr:txBody>
        <a:bodyPr wrap="none" lIns="91440" tIns="45720" rIns="91440" bIns="45720">
          <a:prstTxWarp prst="textDeflate">
            <a:avLst/>
          </a:prstTxWarp>
          <a:spAutoFit/>
        </a:bodyPr>
        <a:lstStyle/>
        <a:p>
          <a:pPr algn="ctr"/>
          <a:r>
            <a:rPr lang="it-IT" sz="5400" b="1" cap="none" spc="0">
              <a:ln w="9525">
                <a:solidFill>
                  <a:schemeClr val="bg1"/>
                </a:solidFill>
                <a:prstDash val="solid"/>
              </a:ln>
              <a:solidFill>
                <a:schemeClr val="tx1"/>
              </a:solidFill>
              <a:effectLst>
                <a:outerShdw blurRad="12700" dist="38100" dir="2700000" algn="tl" rotWithShape="0">
                  <a:schemeClr val="bg1">
                    <a:lumMod val="50000"/>
                  </a:schemeClr>
                </a:outerShdw>
              </a:effectLst>
              <a:latin typeface="+mn-lt"/>
            </a:rPr>
            <a:t>SAGRA</a:t>
          </a:r>
          <a:r>
            <a:rPr lang="it-IT" sz="5400" b="1" cap="none" spc="0" baseline="0">
              <a:ln w="9525">
                <a:solidFill>
                  <a:schemeClr val="bg1"/>
                </a:solidFill>
                <a:prstDash val="solid"/>
              </a:ln>
              <a:solidFill>
                <a:schemeClr val="tx1"/>
              </a:solidFill>
              <a:effectLst>
                <a:outerShdw blurRad="12700" dist="38100" dir="2700000" algn="tl" rotWithShape="0">
                  <a:schemeClr val="bg1">
                    <a:lumMod val="50000"/>
                  </a:schemeClr>
                </a:outerShdw>
              </a:effectLst>
              <a:latin typeface="+mn-lt"/>
            </a:rPr>
            <a:t> DA SUJACA</a:t>
          </a:r>
          <a:endParaRPr lang="it-IT" sz="5400" b="1" cap="none" spc="0">
            <a:ln w="9525">
              <a:solidFill>
                <a:schemeClr val="bg1"/>
              </a:solidFill>
              <a:prstDash val="solid"/>
            </a:ln>
            <a:solidFill>
              <a:schemeClr val="tx1"/>
            </a:solidFill>
            <a:effectLst>
              <a:outerShdw blurRad="12700" dist="38100" dir="2700000" algn="tl" rotWithShape="0">
                <a:schemeClr val="bg1">
                  <a:lumMod val="50000"/>
                </a:schemeClr>
              </a:outerShdw>
            </a:effectLst>
            <a:latin typeface="+mn-lt"/>
          </a:endParaRPr>
        </a:p>
      </xdr:txBody>
    </xdr:sp>
    <xdr:clientData/>
  </xdr:oneCellAnchor>
  <xdr:twoCellAnchor editAs="oneCell">
    <xdr:from>
      <xdr:col>28</xdr:col>
      <xdr:colOff>364925</xdr:colOff>
      <xdr:row>114</xdr:row>
      <xdr:rowOff>164438</xdr:rowOff>
    </xdr:from>
    <xdr:to>
      <xdr:col>28</xdr:col>
      <xdr:colOff>1803400</xdr:colOff>
      <xdr:row>115</xdr:row>
      <xdr:rowOff>563769</xdr:rowOff>
    </xdr:to>
    <xdr:pic>
      <xdr:nvPicPr>
        <xdr:cNvPr id="15" name="Immagine 14">
          <a:extLst>
            <a:ext uri="{FF2B5EF4-FFF2-40B4-BE49-F238E27FC236}">
              <a16:creationId xmlns:a16="http://schemas.microsoft.com/office/drawing/2014/main" id="{00000000-0008-0000-00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40361458" y="22601105"/>
          <a:ext cx="1438475" cy="687197"/>
        </a:xfrm>
        <a:prstGeom prst="rect">
          <a:avLst/>
        </a:prstGeom>
      </xdr:spPr>
    </xdr:pic>
    <xdr:clientData/>
  </xdr:twoCellAnchor>
  <xdr:oneCellAnchor>
    <xdr:from>
      <xdr:col>28</xdr:col>
      <xdr:colOff>0</xdr:colOff>
      <xdr:row>113</xdr:row>
      <xdr:rowOff>0</xdr:rowOff>
    </xdr:from>
    <xdr:ext cx="2264846" cy="510725"/>
    <xdr:sp macro="" textlink="">
      <xdr:nvSpPr>
        <xdr:cNvPr id="16" name="Rettangolo 15">
          <a:extLst>
            <a:ext uri="{FF2B5EF4-FFF2-40B4-BE49-F238E27FC236}">
              <a16:creationId xmlns:a16="http://schemas.microsoft.com/office/drawing/2014/main" id="{00000000-0008-0000-0000-000010000000}"/>
            </a:ext>
          </a:extLst>
        </xdr:cNvPr>
        <xdr:cNvSpPr/>
      </xdr:nvSpPr>
      <xdr:spPr>
        <a:xfrm>
          <a:off x="26670000" y="22303740"/>
          <a:ext cx="2264846" cy="510725"/>
        </a:xfrm>
        <a:prstGeom prst="rect">
          <a:avLst/>
        </a:prstGeom>
        <a:noFill/>
      </xdr:spPr>
      <xdr:txBody>
        <a:bodyPr wrap="none" lIns="91440" tIns="45720" rIns="91440" bIns="45720">
          <a:prstTxWarp prst="textDeflate">
            <a:avLst/>
          </a:prstTxWarp>
          <a:spAutoFit/>
        </a:bodyPr>
        <a:lstStyle/>
        <a:p>
          <a:pPr algn="ctr"/>
          <a:r>
            <a:rPr lang="it-IT" sz="5400" b="1" cap="none" spc="0">
              <a:ln w="9525">
                <a:solidFill>
                  <a:schemeClr val="bg1"/>
                </a:solidFill>
                <a:prstDash val="solid"/>
              </a:ln>
              <a:solidFill>
                <a:schemeClr val="tx1"/>
              </a:solidFill>
              <a:effectLst>
                <a:outerShdw blurRad="12700" dist="38100" dir="2700000" algn="tl" rotWithShape="0">
                  <a:schemeClr val="bg1">
                    <a:lumMod val="50000"/>
                  </a:schemeClr>
                </a:outerShdw>
              </a:effectLst>
              <a:latin typeface="+mn-lt"/>
            </a:rPr>
            <a:t>SAGRA</a:t>
          </a:r>
          <a:r>
            <a:rPr lang="it-IT" sz="5400" b="1" cap="none" spc="0" baseline="0">
              <a:ln w="9525">
                <a:solidFill>
                  <a:schemeClr val="bg1"/>
                </a:solidFill>
                <a:prstDash val="solid"/>
              </a:ln>
              <a:solidFill>
                <a:schemeClr val="tx1"/>
              </a:solidFill>
              <a:effectLst>
                <a:outerShdw blurRad="12700" dist="38100" dir="2700000" algn="tl" rotWithShape="0">
                  <a:schemeClr val="bg1">
                    <a:lumMod val="50000"/>
                  </a:schemeClr>
                </a:outerShdw>
              </a:effectLst>
              <a:latin typeface="+mn-lt"/>
            </a:rPr>
            <a:t> DA SUJACA</a:t>
          </a:r>
          <a:endParaRPr lang="it-IT" sz="5400" b="1" cap="none" spc="0">
            <a:ln w="9525">
              <a:solidFill>
                <a:schemeClr val="bg1"/>
              </a:solidFill>
              <a:prstDash val="solid"/>
            </a:ln>
            <a:solidFill>
              <a:schemeClr val="tx1"/>
            </a:solidFill>
            <a:effectLst>
              <a:outerShdw blurRad="12700" dist="38100" dir="2700000" algn="tl" rotWithShape="0">
                <a:schemeClr val="bg1">
                  <a:lumMod val="50000"/>
                </a:schemeClr>
              </a:outerShdw>
            </a:effectLst>
            <a:latin typeface="+mn-lt"/>
          </a:endParaRPr>
        </a:p>
      </xdr:txBody>
    </xdr:sp>
    <xdr:clientData/>
  </xdr:oneCellAnchor>
  <xdr:twoCellAnchor editAs="oneCell">
    <xdr:from>
      <xdr:col>29</xdr:col>
      <xdr:colOff>398792</xdr:colOff>
      <xdr:row>114</xdr:row>
      <xdr:rowOff>172905</xdr:rowOff>
    </xdr:from>
    <xdr:to>
      <xdr:col>29</xdr:col>
      <xdr:colOff>1854201</xdr:colOff>
      <xdr:row>115</xdr:row>
      <xdr:rowOff>580326</xdr:rowOff>
    </xdr:to>
    <xdr:pic>
      <xdr:nvPicPr>
        <xdr:cNvPr id="17" name="Immagine 16">
          <a:extLst>
            <a:ext uri="{FF2B5EF4-FFF2-40B4-BE49-F238E27FC236}">
              <a16:creationId xmlns:a16="http://schemas.microsoft.com/office/drawing/2014/main" id="{00000000-0008-0000-0000-00001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46618325" y="22609572"/>
          <a:ext cx="1455409" cy="695287"/>
        </a:xfrm>
        <a:prstGeom prst="rect">
          <a:avLst/>
        </a:prstGeom>
      </xdr:spPr>
    </xdr:pic>
    <xdr:clientData/>
  </xdr:twoCellAnchor>
  <xdr:oneCellAnchor>
    <xdr:from>
      <xdr:col>29</xdr:col>
      <xdr:colOff>0</xdr:colOff>
      <xdr:row>113</xdr:row>
      <xdr:rowOff>0</xdr:rowOff>
    </xdr:from>
    <xdr:ext cx="2264846" cy="510725"/>
    <xdr:sp macro="" textlink="">
      <xdr:nvSpPr>
        <xdr:cNvPr id="18" name="Rettangolo 17">
          <a:extLst>
            <a:ext uri="{FF2B5EF4-FFF2-40B4-BE49-F238E27FC236}">
              <a16:creationId xmlns:a16="http://schemas.microsoft.com/office/drawing/2014/main" id="{00000000-0008-0000-0000-000012000000}"/>
            </a:ext>
          </a:extLst>
        </xdr:cNvPr>
        <xdr:cNvSpPr/>
      </xdr:nvSpPr>
      <xdr:spPr>
        <a:xfrm>
          <a:off x="29123640" y="22303740"/>
          <a:ext cx="2264846" cy="510725"/>
        </a:xfrm>
        <a:prstGeom prst="rect">
          <a:avLst/>
        </a:prstGeom>
        <a:noFill/>
      </xdr:spPr>
      <xdr:txBody>
        <a:bodyPr wrap="none" lIns="91440" tIns="45720" rIns="91440" bIns="45720">
          <a:prstTxWarp prst="textDeflate">
            <a:avLst/>
          </a:prstTxWarp>
          <a:spAutoFit/>
        </a:bodyPr>
        <a:lstStyle/>
        <a:p>
          <a:pPr algn="ctr"/>
          <a:r>
            <a:rPr lang="it-IT" sz="5400" b="1" cap="none" spc="0">
              <a:ln w="9525">
                <a:solidFill>
                  <a:schemeClr val="bg1"/>
                </a:solidFill>
                <a:prstDash val="solid"/>
              </a:ln>
              <a:solidFill>
                <a:schemeClr val="tx1"/>
              </a:solidFill>
              <a:effectLst>
                <a:outerShdw blurRad="12700" dist="38100" dir="2700000" algn="tl" rotWithShape="0">
                  <a:schemeClr val="bg1">
                    <a:lumMod val="50000"/>
                  </a:schemeClr>
                </a:outerShdw>
              </a:effectLst>
              <a:latin typeface="+mn-lt"/>
            </a:rPr>
            <a:t>SAGRA</a:t>
          </a:r>
          <a:r>
            <a:rPr lang="it-IT" sz="5400" b="1" cap="none" spc="0" baseline="0">
              <a:ln w="9525">
                <a:solidFill>
                  <a:schemeClr val="bg1"/>
                </a:solidFill>
                <a:prstDash val="solid"/>
              </a:ln>
              <a:solidFill>
                <a:schemeClr val="tx1"/>
              </a:solidFill>
              <a:effectLst>
                <a:outerShdw blurRad="12700" dist="38100" dir="2700000" algn="tl" rotWithShape="0">
                  <a:schemeClr val="bg1">
                    <a:lumMod val="50000"/>
                  </a:schemeClr>
                </a:outerShdw>
              </a:effectLst>
              <a:latin typeface="+mn-lt"/>
            </a:rPr>
            <a:t> DA SUJACA</a:t>
          </a:r>
          <a:endParaRPr lang="it-IT" sz="5400" b="1" cap="none" spc="0">
            <a:ln w="9525">
              <a:solidFill>
                <a:schemeClr val="bg1"/>
              </a:solidFill>
              <a:prstDash val="solid"/>
            </a:ln>
            <a:solidFill>
              <a:schemeClr val="tx1"/>
            </a:solidFill>
            <a:effectLst>
              <a:outerShdw blurRad="12700" dist="38100" dir="2700000" algn="tl" rotWithShape="0">
                <a:schemeClr val="bg1">
                  <a:lumMod val="50000"/>
                </a:schemeClr>
              </a:outerShdw>
            </a:effectLst>
            <a:latin typeface="+mn-lt"/>
          </a:endParaRPr>
        </a:p>
      </xdr:txBody>
    </xdr:sp>
    <xdr:clientData/>
  </xdr:oneCellAnchor>
  <xdr:twoCellAnchor editAs="oneCell">
    <xdr:from>
      <xdr:col>30</xdr:col>
      <xdr:colOff>322593</xdr:colOff>
      <xdr:row>114</xdr:row>
      <xdr:rowOff>198305</xdr:rowOff>
    </xdr:from>
    <xdr:to>
      <xdr:col>30</xdr:col>
      <xdr:colOff>1892447</xdr:colOff>
      <xdr:row>115</xdr:row>
      <xdr:rowOff>660400</xdr:rowOff>
    </xdr:to>
    <xdr:pic>
      <xdr:nvPicPr>
        <xdr:cNvPr id="19" name="Immagine 18">
          <a:extLst>
            <a:ext uri="{FF2B5EF4-FFF2-40B4-BE49-F238E27FC236}">
              <a16:creationId xmlns:a16="http://schemas.microsoft.com/office/drawing/2014/main" id="{00000000-0008-0000-0000-00001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52765126" y="22634972"/>
          <a:ext cx="1569854" cy="749961"/>
        </a:xfrm>
        <a:prstGeom prst="rect">
          <a:avLst/>
        </a:prstGeom>
      </xdr:spPr>
    </xdr:pic>
    <xdr:clientData/>
  </xdr:twoCellAnchor>
  <xdr:oneCellAnchor>
    <xdr:from>
      <xdr:col>30</xdr:col>
      <xdr:colOff>0</xdr:colOff>
      <xdr:row>113</xdr:row>
      <xdr:rowOff>0</xdr:rowOff>
    </xdr:from>
    <xdr:ext cx="2264846" cy="510725"/>
    <xdr:sp macro="" textlink="">
      <xdr:nvSpPr>
        <xdr:cNvPr id="20" name="Rettangolo 19">
          <a:extLst>
            <a:ext uri="{FF2B5EF4-FFF2-40B4-BE49-F238E27FC236}">
              <a16:creationId xmlns:a16="http://schemas.microsoft.com/office/drawing/2014/main" id="{00000000-0008-0000-0000-000014000000}"/>
            </a:ext>
          </a:extLst>
        </xdr:cNvPr>
        <xdr:cNvSpPr/>
      </xdr:nvSpPr>
      <xdr:spPr>
        <a:xfrm>
          <a:off x="31584900" y="22303740"/>
          <a:ext cx="2264846" cy="510725"/>
        </a:xfrm>
        <a:prstGeom prst="rect">
          <a:avLst/>
        </a:prstGeom>
        <a:noFill/>
      </xdr:spPr>
      <xdr:txBody>
        <a:bodyPr wrap="none" lIns="91440" tIns="45720" rIns="91440" bIns="45720">
          <a:prstTxWarp prst="textDeflate">
            <a:avLst/>
          </a:prstTxWarp>
          <a:spAutoFit/>
        </a:bodyPr>
        <a:lstStyle/>
        <a:p>
          <a:pPr algn="ctr"/>
          <a:r>
            <a:rPr lang="it-IT" sz="5400" b="1" cap="none" spc="0">
              <a:ln w="9525">
                <a:solidFill>
                  <a:schemeClr val="bg1"/>
                </a:solidFill>
                <a:prstDash val="solid"/>
              </a:ln>
              <a:solidFill>
                <a:schemeClr val="tx1"/>
              </a:solidFill>
              <a:effectLst>
                <a:outerShdw blurRad="12700" dist="38100" dir="2700000" algn="tl" rotWithShape="0">
                  <a:schemeClr val="bg1">
                    <a:lumMod val="50000"/>
                  </a:schemeClr>
                </a:outerShdw>
              </a:effectLst>
              <a:latin typeface="+mn-lt"/>
            </a:rPr>
            <a:t>SAGRA</a:t>
          </a:r>
          <a:r>
            <a:rPr lang="it-IT" sz="5400" b="1" cap="none" spc="0" baseline="0">
              <a:ln w="9525">
                <a:solidFill>
                  <a:schemeClr val="bg1"/>
                </a:solidFill>
                <a:prstDash val="solid"/>
              </a:ln>
              <a:solidFill>
                <a:schemeClr val="tx1"/>
              </a:solidFill>
              <a:effectLst>
                <a:outerShdw blurRad="12700" dist="38100" dir="2700000" algn="tl" rotWithShape="0">
                  <a:schemeClr val="bg1">
                    <a:lumMod val="50000"/>
                  </a:schemeClr>
                </a:outerShdw>
              </a:effectLst>
              <a:latin typeface="+mn-lt"/>
            </a:rPr>
            <a:t> DA SUJACA</a:t>
          </a:r>
          <a:endParaRPr lang="it-IT" sz="5400" b="1" cap="none" spc="0">
            <a:ln w="9525">
              <a:solidFill>
                <a:schemeClr val="bg1"/>
              </a:solidFill>
              <a:prstDash val="solid"/>
            </a:ln>
            <a:solidFill>
              <a:schemeClr val="tx1"/>
            </a:solidFill>
            <a:effectLst>
              <a:outerShdw blurRad="12700" dist="38100" dir="2700000" algn="tl" rotWithShape="0">
                <a:schemeClr val="bg1">
                  <a:lumMod val="50000"/>
                </a:schemeClr>
              </a:outerShdw>
            </a:effectLst>
            <a:latin typeface="+mn-lt"/>
          </a:endParaRPr>
        </a:p>
      </xdr:txBody>
    </xdr:sp>
    <xdr:clientData/>
  </xdr:oneCellAnchor>
  <xdr:oneCellAnchor>
    <xdr:from>
      <xdr:col>31</xdr:col>
      <xdr:colOff>339525</xdr:colOff>
      <xdr:row>114</xdr:row>
      <xdr:rowOff>172905</xdr:rowOff>
    </xdr:from>
    <xdr:ext cx="1599341" cy="766668"/>
    <xdr:pic>
      <xdr:nvPicPr>
        <xdr:cNvPr id="21" name="Immagine 20">
          <a:extLst>
            <a:ext uri="{FF2B5EF4-FFF2-40B4-BE49-F238E27FC236}">
              <a16:creationId xmlns:a16="http://schemas.microsoft.com/office/drawing/2014/main" id="{00000000-0008-0000-0000-00001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59005058" y="22609572"/>
          <a:ext cx="1599341" cy="766668"/>
        </a:xfrm>
        <a:prstGeom prst="rect">
          <a:avLst/>
        </a:prstGeom>
      </xdr:spPr>
    </xdr:pic>
    <xdr:clientData/>
  </xdr:oneCellAnchor>
  <xdr:oneCellAnchor>
    <xdr:from>
      <xdr:col>31</xdr:col>
      <xdr:colOff>0</xdr:colOff>
      <xdr:row>113</xdr:row>
      <xdr:rowOff>0</xdr:rowOff>
    </xdr:from>
    <xdr:ext cx="2264846" cy="510725"/>
    <xdr:sp macro="" textlink="">
      <xdr:nvSpPr>
        <xdr:cNvPr id="22" name="Rettangolo 21">
          <a:extLst>
            <a:ext uri="{FF2B5EF4-FFF2-40B4-BE49-F238E27FC236}">
              <a16:creationId xmlns:a16="http://schemas.microsoft.com/office/drawing/2014/main" id="{00000000-0008-0000-0000-000016000000}"/>
            </a:ext>
          </a:extLst>
        </xdr:cNvPr>
        <xdr:cNvSpPr/>
      </xdr:nvSpPr>
      <xdr:spPr>
        <a:xfrm>
          <a:off x="46725840" y="22875240"/>
          <a:ext cx="2264846" cy="510725"/>
        </a:xfrm>
        <a:prstGeom prst="rect">
          <a:avLst/>
        </a:prstGeom>
        <a:noFill/>
      </xdr:spPr>
      <xdr:txBody>
        <a:bodyPr wrap="none" lIns="91440" tIns="45720" rIns="91440" bIns="45720">
          <a:prstTxWarp prst="textDeflate">
            <a:avLst/>
          </a:prstTxWarp>
          <a:spAutoFit/>
        </a:bodyPr>
        <a:lstStyle/>
        <a:p>
          <a:pPr algn="ctr"/>
          <a:r>
            <a:rPr lang="it-IT" sz="5400" b="1" cap="none" spc="0">
              <a:ln w="9525">
                <a:solidFill>
                  <a:schemeClr val="bg1"/>
                </a:solidFill>
                <a:prstDash val="solid"/>
              </a:ln>
              <a:solidFill>
                <a:schemeClr val="tx1"/>
              </a:solidFill>
              <a:effectLst>
                <a:outerShdw blurRad="12700" dist="38100" dir="2700000" algn="tl" rotWithShape="0">
                  <a:schemeClr val="bg1">
                    <a:lumMod val="50000"/>
                  </a:schemeClr>
                </a:outerShdw>
              </a:effectLst>
              <a:latin typeface="+mn-lt"/>
            </a:rPr>
            <a:t>SAGRA</a:t>
          </a:r>
          <a:r>
            <a:rPr lang="it-IT" sz="5400" b="1" cap="none" spc="0" baseline="0">
              <a:ln w="9525">
                <a:solidFill>
                  <a:schemeClr val="bg1"/>
                </a:solidFill>
                <a:prstDash val="solid"/>
              </a:ln>
              <a:solidFill>
                <a:schemeClr val="tx1"/>
              </a:solidFill>
              <a:effectLst>
                <a:outerShdw blurRad="12700" dist="38100" dir="2700000" algn="tl" rotWithShape="0">
                  <a:schemeClr val="bg1">
                    <a:lumMod val="50000"/>
                  </a:schemeClr>
                </a:outerShdw>
              </a:effectLst>
              <a:latin typeface="+mn-lt"/>
            </a:rPr>
            <a:t> DA SUJACA</a:t>
          </a:r>
          <a:endParaRPr lang="it-IT" sz="5400" b="1" cap="none" spc="0">
            <a:ln w="9525">
              <a:solidFill>
                <a:schemeClr val="bg1"/>
              </a:solidFill>
              <a:prstDash val="solid"/>
            </a:ln>
            <a:solidFill>
              <a:schemeClr val="tx1"/>
            </a:solidFill>
            <a:effectLst>
              <a:outerShdw blurRad="12700" dist="38100" dir="2700000" algn="tl" rotWithShape="0">
                <a:schemeClr val="bg1">
                  <a:lumMod val="50000"/>
                </a:schemeClr>
              </a:outerShdw>
            </a:effectLst>
            <a:latin typeface="+mn-lt"/>
          </a:endParaRPr>
        </a:p>
      </xdr:txBody>
    </xdr:sp>
    <xdr:clientData/>
  </xdr:oneCellAnchor>
  <xdr:oneCellAnchor>
    <xdr:from>
      <xdr:col>32</xdr:col>
      <xdr:colOff>339526</xdr:colOff>
      <xdr:row>114</xdr:row>
      <xdr:rowOff>181372</xdr:rowOff>
    </xdr:from>
    <xdr:ext cx="1582152" cy="758428"/>
    <xdr:pic>
      <xdr:nvPicPr>
        <xdr:cNvPr id="23" name="Immagine 22">
          <a:extLst>
            <a:ext uri="{FF2B5EF4-FFF2-40B4-BE49-F238E27FC236}">
              <a16:creationId xmlns:a16="http://schemas.microsoft.com/office/drawing/2014/main" id="{00000000-0008-0000-0000-00001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65228059" y="22618039"/>
          <a:ext cx="1582152" cy="758428"/>
        </a:xfrm>
        <a:prstGeom prst="rect">
          <a:avLst/>
        </a:prstGeom>
      </xdr:spPr>
    </xdr:pic>
    <xdr:clientData/>
  </xdr:oneCellAnchor>
  <xdr:oneCellAnchor>
    <xdr:from>
      <xdr:col>32</xdr:col>
      <xdr:colOff>0</xdr:colOff>
      <xdr:row>113</xdr:row>
      <xdr:rowOff>0</xdr:rowOff>
    </xdr:from>
    <xdr:ext cx="2264846" cy="510725"/>
    <xdr:sp macro="" textlink="">
      <xdr:nvSpPr>
        <xdr:cNvPr id="24" name="Rettangolo 23">
          <a:extLst>
            <a:ext uri="{FF2B5EF4-FFF2-40B4-BE49-F238E27FC236}">
              <a16:creationId xmlns:a16="http://schemas.microsoft.com/office/drawing/2014/main" id="{00000000-0008-0000-0000-000018000000}"/>
            </a:ext>
          </a:extLst>
        </xdr:cNvPr>
        <xdr:cNvSpPr/>
      </xdr:nvSpPr>
      <xdr:spPr>
        <a:xfrm>
          <a:off x="52951380" y="22875240"/>
          <a:ext cx="2264846" cy="510725"/>
        </a:xfrm>
        <a:prstGeom prst="rect">
          <a:avLst/>
        </a:prstGeom>
        <a:noFill/>
      </xdr:spPr>
      <xdr:txBody>
        <a:bodyPr wrap="none" lIns="91440" tIns="45720" rIns="91440" bIns="45720">
          <a:prstTxWarp prst="textDeflate">
            <a:avLst/>
          </a:prstTxWarp>
          <a:spAutoFit/>
        </a:bodyPr>
        <a:lstStyle/>
        <a:p>
          <a:pPr algn="ctr"/>
          <a:r>
            <a:rPr lang="it-IT" sz="5400" b="1" cap="none" spc="0">
              <a:ln w="9525">
                <a:solidFill>
                  <a:schemeClr val="bg1"/>
                </a:solidFill>
                <a:prstDash val="solid"/>
              </a:ln>
              <a:solidFill>
                <a:schemeClr val="tx1"/>
              </a:solidFill>
              <a:effectLst>
                <a:outerShdw blurRad="12700" dist="38100" dir="2700000" algn="tl" rotWithShape="0">
                  <a:schemeClr val="bg1">
                    <a:lumMod val="50000"/>
                  </a:schemeClr>
                </a:outerShdw>
              </a:effectLst>
              <a:latin typeface="+mn-lt"/>
            </a:rPr>
            <a:t>SAGRA</a:t>
          </a:r>
          <a:r>
            <a:rPr lang="it-IT" sz="5400" b="1" cap="none" spc="0" baseline="0">
              <a:ln w="9525">
                <a:solidFill>
                  <a:schemeClr val="bg1"/>
                </a:solidFill>
                <a:prstDash val="solid"/>
              </a:ln>
              <a:solidFill>
                <a:schemeClr val="tx1"/>
              </a:solidFill>
              <a:effectLst>
                <a:outerShdw blurRad="12700" dist="38100" dir="2700000" algn="tl" rotWithShape="0">
                  <a:schemeClr val="bg1">
                    <a:lumMod val="50000"/>
                  </a:schemeClr>
                </a:outerShdw>
              </a:effectLst>
              <a:latin typeface="+mn-lt"/>
            </a:rPr>
            <a:t> DA SUJACA</a:t>
          </a:r>
          <a:endParaRPr lang="it-IT" sz="5400" b="1" cap="none" spc="0">
            <a:ln w="9525">
              <a:solidFill>
                <a:schemeClr val="bg1"/>
              </a:solidFill>
              <a:prstDash val="solid"/>
            </a:ln>
            <a:solidFill>
              <a:schemeClr val="tx1"/>
            </a:solidFill>
            <a:effectLst>
              <a:outerShdw blurRad="12700" dist="38100" dir="2700000" algn="tl" rotWithShape="0">
                <a:schemeClr val="bg1">
                  <a:lumMod val="50000"/>
                </a:schemeClr>
              </a:outerShdw>
            </a:effectLst>
            <a:latin typeface="+mn-lt"/>
          </a:endParaRPr>
        </a:p>
      </xdr:txBody>
    </xdr:sp>
    <xdr:clientData/>
  </xdr:oneCellAnchor>
  <xdr:oneCellAnchor>
    <xdr:from>
      <xdr:col>25</xdr:col>
      <xdr:colOff>331059</xdr:colOff>
      <xdr:row>114</xdr:row>
      <xdr:rowOff>172905</xdr:rowOff>
    </xdr:from>
    <xdr:ext cx="1514675" cy="720497"/>
    <xdr:pic>
      <xdr:nvPicPr>
        <xdr:cNvPr id="25" name="Immagine 24">
          <a:extLst>
            <a:ext uri="{FF2B5EF4-FFF2-40B4-BE49-F238E27FC236}">
              <a16:creationId xmlns:a16="http://schemas.microsoft.com/office/drawing/2014/main" id="{00000000-0008-0000-0000-00001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1658592" y="22609572"/>
          <a:ext cx="1514675" cy="720497"/>
        </a:xfrm>
        <a:prstGeom prst="rect">
          <a:avLst/>
        </a:prstGeom>
      </xdr:spPr>
    </xdr:pic>
    <xdr:clientData/>
  </xdr:oneCellAnchor>
  <xdr:oneCellAnchor>
    <xdr:from>
      <xdr:col>25</xdr:col>
      <xdr:colOff>0</xdr:colOff>
      <xdr:row>113</xdr:row>
      <xdr:rowOff>0</xdr:rowOff>
    </xdr:from>
    <xdr:ext cx="2264846" cy="510725"/>
    <xdr:sp macro="" textlink="">
      <xdr:nvSpPr>
        <xdr:cNvPr id="26" name="Rettangolo 25">
          <a:extLst>
            <a:ext uri="{FF2B5EF4-FFF2-40B4-BE49-F238E27FC236}">
              <a16:creationId xmlns:a16="http://schemas.microsoft.com/office/drawing/2014/main" id="{00000000-0008-0000-0000-00001A000000}"/>
            </a:ext>
          </a:extLst>
        </xdr:cNvPr>
        <xdr:cNvSpPr/>
      </xdr:nvSpPr>
      <xdr:spPr>
        <a:xfrm>
          <a:off x="21926550" y="22964775"/>
          <a:ext cx="2264846" cy="510725"/>
        </a:xfrm>
        <a:prstGeom prst="rect">
          <a:avLst/>
        </a:prstGeom>
        <a:noFill/>
      </xdr:spPr>
      <xdr:txBody>
        <a:bodyPr wrap="none" lIns="91440" tIns="45720" rIns="91440" bIns="45720">
          <a:prstTxWarp prst="textDeflate">
            <a:avLst/>
          </a:prstTxWarp>
          <a:spAutoFit/>
        </a:bodyPr>
        <a:lstStyle/>
        <a:p>
          <a:pPr algn="ctr"/>
          <a:r>
            <a:rPr lang="it-IT" sz="5400" b="1" cap="none" spc="0">
              <a:ln w="9525">
                <a:solidFill>
                  <a:schemeClr val="bg1"/>
                </a:solidFill>
                <a:prstDash val="solid"/>
              </a:ln>
              <a:solidFill>
                <a:schemeClr val="tx1"/>
              </a:solidFill>
              <a:effectLst>
                <a:outerShdw blurRad="12700" dist="38100" dir="2700000" algn="tl" rotWithShape="0">
                  <a:schemeClr val="bg1">
                    <a:lumMod val="50000"/>
                  </a:schemeClr>
                </a:outerShdw>
              </a:effectLst>
              <a:latin typeface="+mn-lt"/>
            </a:rPr>
            <a:t>SAGRA</a:t>
          </a:r>
          <a:r>
            <a:rPr lang="it-IT" sz="5400" b="1" cap="none" spc="0" baseline="0">
              <a:ln w="9525">
                <a:solidFill>
                  <a:schemeClr val="bg1"/>
                </a:solidFill>
                <a:prstDash val="solid"/>
              </a:ln>
              <a:solidFill>
                <a:schemeClr val="tx1"/>
              </a:solidFill>
              <a:effectLst>
                <a:outerShdw blurRad="12700" dist="38100" dir="2700000" algn="tl" rotWithShape="0">
                  <a:schemeClr val="bg1">
                    <a:lumMod val="50000"/>
                  </a:schemeClr>
                </a:outerShdw>
              </a:effectLst>
              <a:latin typeface="+mn-lt"/>
            </a:rPr>
            <a:t> DA SUJACA</a:t>
          </a:r>
          <a:endParaRPr lang="it-IT" sz="5400" b="1" cap="none" spc="0">
            <a:ln w="9525">
              <a:solidFill>
                <a:schemeClr val="bg1"/>
              </a:solidFill>
              <a:prstDash val="solid"/>
            </a:ln>
            <a:solidFill>
              <a:schemeClr val="tx1"/>
            </a:solidFill>
            <a:effectLst>
              <a:outerShdw blurRad="12700" dist="38100" dir="2700000" algn="tl" rotWithShape="0">
                <a:schemeClr val="bg1">
                  <a:lumMod val="50000"/>
                </a:schemeClr>
              </a:outerShdw>
            </a:effectLst>
            <a:latin typeface="+mn-lt"/>
          </a:endParaRPr>
        </a:p>
      </xdr:txBody>
    </xdr:sp>
    <xdr:clientData/>
  </xdr:oneCellAnchor>
</xdr:wsDr>
</file>

<file path=xl/theme/theme1.xml><?xml version="1.0" encoding="utf-8"?>
<a:theme xmlns:a="http://schemas.openxmlformats.org/drawingml/2006/main" name="Tema di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oglio1"/>
  <dimension ref="A1:BB116"/>
  <sheetViews>
    <sheetView tabSelected="1" zoomScale="90" zoomScaleNormal="90" workbookViewId="0">
      <selection activeCell="G20" sqref="G20"/>
    </sheetView>
  </sheetViews>
  <sheetFormatPr defaultRowHeight="14.4" x14ac:dyDescent="0.3"/>
  <cols>
    <col min="1" max="1" width="21.5546875" customWidth="1"/>
    <col min="2" max="2" width="11.6640625" customWidth="1"/>
    <col min="3" max="3" width="12.5546875" customWidth="1"/>
    <col min="7" max="7" width="26.5546875" customWidth="1"/>
    <col min="8" max="8" width="14.6640625" customWidth="1"/>
    <col min="18" max="18" width="17.5546875" customWidth="1"/>
    <col min="19" max="19" width="12.88671875" customWidth="1"/>
    <col min="20" max="20" width="14" customWidth="1"/>
    <col min="25" max="25" width="37.33203125" customWidth="1"/>
    <col min="26" max="31" width="90.77734375" customWidth="1"/>
    <col min="32" max="32" width="90.6640625" customWidth="1"/>
    <col min="33" max="33" width="90.77734375" customWidth="1"/>
    <col min="54" max="54" width="90.6640625" customWidth="1"/>
  </cols>
  <sheetData>
    <row r="1" spans="1:21" ht="14.4" customHeight="1" x14ac:dyDescent="0.3">
      <c r="A1" s="23"/>
      <c r="B1" s="24"/>
      <c r="C1" s="36" t="s">
        <v>0</v>
      </c>
      <c r="D1" s="37"/>
      <c r="E1" s="37"/>
      <c r="F1" s="37"/>
      <c r="G1" s="37"/>
      <c r="H1" s="37"/>
      <c r="I1" s="38"/>
      <c r="J1" s="15"/>
      <c r="K1" s="15"/>
      <c r="L1" s="7"/>
      <c r="M1" s="7"/>
    </row>
    <row r="2" spans="1:21" x14ac:dyDescent="0.3">
      <c r="A2" s="25"/>
      <c r="B2" s="26"/>
      <c r="C2" s="39"/>
      <c r="D2" s="40"/>
      <c r="E2" s="40"/>
      <c r="F2" s="40"/>
      <c r="G2" s="40"/>
      <c r="H2" s="40"/>
      <c r="I2" s="41"/>
      <c r="J2" s="15"/>
      <c r="K2" s="15"/>
      <c r="L2" s="7"/>
      <c r="M2" s="7"/>
    </row>
    <row r="3" spans="1:21" x14ac:dyDescent="0.3">
      <c r="A3" s="25"/>
      <c r="B3" s="26"/>
      <c r="C3" s="39"/>
      <c r="D3" s="40"/>
      <c r="E3" s="40"/>
      <c r="F3" s="40"/>
      <c r="G3" s="40"/>
      <c r="H3" s="40"/>
      <c r="I3" s="41"/>
      <c r="J3" s="15"/>
      <c r="K3" s="15"/>
      <c r="L3" s="7"/>
      <c r="M3" s="7"/>
    </row>
    <row r="4" spans="1:21" x14ac:dyDescent="0.3">
      <c r="A4" s="25"/>
      <c r="B4" s="26"/>
      <c r="C4" s="39"/>
      <c r="D4" s="40"/>
      <c r="E4" s="40"/>
      <c r="F4" s="40"/>
      <c r="G4" s="40"/>
      <c r="H4" s="40"/>
      <c r="I4" s="41"/>
      <c r="J4" s="15"/>
      <c r="K4" s="15"/>
      <c r="L4" s="7"/>
      <c r="M4" s="7"/>
    </row>
    <row r="5" spans="1:21" ht="15" thickBot="1" x14ac:dyDescent="0.35">
      <c r="A5" s="27"/>
      <c r="B5" s="28"/>
      <c r="C5" s="42"/>
      <c r="D5" s="43"/>
      <c r="E5" s="43"/>
      <c r="F5" s="43"/>
      <c r="G5" s="43"/>
      <c r="H5" s="43"/>
      <c r="I5" s="44"/>
      <c r="J5" s="15"/>
      <c r="K5" s="15"/>
      <c r="L5" s="7"/>
      <c r="M5" s="7"/>
    </row>
    <row r="6" spans="1:21" ht="14.4" customHeight="1" x14ac:dyDescent="0.3">
      <c r="A6" s="45" t="s">
        <v>35</v>
      </c>
      <c r="B6" s="46"/>
      <c r="C6" s="46"/>
      <c r="D6" s="46"/>
      <c r="E6" s="46"/>
      <c r="F6" s="46"/>
      <c r="G6" s="46"/>
      <c r="H6" s="46"/>
      <c r="I6" s="47"/>
      <c r="J6" s="16"/>
      <c r="K6" s="16"/>
      <c r="L6" s="8"/>
      <c r="M6" s="8"/>
    </row>
    <row r="7" spans="1:21" ht="15.75" customHeight="1" thickBot="1" x14ac:dyDescent="0.35">
      <c r="A7" s="48"/>
      <c r="B7" s="49"/>
      <c r="C7" s="49"/>
      <c r="D7" s="49"/>
      <c r="E7" s="49"/>
      <c r="F7" s="49"/>
      <c r="G7" s="49"/>
      <c r="H7" s="49"/>
      <c r="I7" s="50"/>
      <c r="J7" s="16"/>
      <c r="K7" s="16"/>
      <c r="L7" s="8"/>
      <c r="M7" s="8"/>
    </row>
    <row r="8" spans="1:21" ht="15.6" x14ac:dyDescent="0.3">
      <c r="A8" s="29" t="s">
        <v>1</v>
      </c>
      <c r="B8" s="30"/>
      <c r="C8" s="30"/>
      <c r="D8" s="51"/>
      <c r="E8" s="51"/>
      <c r="F8" s="51"/>
      <c r="G8" s="51"/>
      <c r="H8" s="51"/>
      <c r="I8" s="52"/>
      <c r="J8" s="4"/>
      <c r="K8" s="4"/>
      <c r="L8" s="4"/>
      <c r="M8" s="4"/>
    </row>
    <row r="9" spans="1:21" ht="16.2" thickBot="1" x14ac:dyDescent="0.35">
      <c r="A9" s="31" t="s">
        <v>31</v>
      </c>
      <c r="B9" s="32"/>
      <c r="C9" s="33"/>
      <c r="D9" s="53"/>
      <c r="E9" s="53"/>
      <c r="F9" s="53"/>
      <c r="G9" s="53"/>
      <c r="H9" s="53"/>
      <c r="I9" s="54"/>
      <c r="J9" s="4"/>
      <c r="K9" s="4"/>
      <c r="L9" s="4"/>
      <c r="M9" s="4"/>
    </row>
    <row r="10" spans="1:21" ht="15.6" x14ac:dyDescent="0.3">
      <c r="A10" s="34" t="s">
        <v>16</v>
      </c>
      <c r="B10" s="34"/>
      <c r="C10" s="34"/>
      <c r="D10" s="13"/>
      <c r="E10" s="13"/>
      <c r="F10" s="3"/>
      <c r="G10" s="35" t="s">
        <v>17</v>
      </c>
      <c r="H10" s="35"/>
      <c r="I10" s="3"/>
      <c r="J10" s="4"/>
      <c r="K10" s="4"/>
      <c r="L10" s="4"/>
      <c r="M10" s="4"/>
      <c r="R10" s="21" t="s">
        <v>20</v>
      </c>
      <c r="S10" s="22"/>
      <c r="T10" s="22"/>
      <c r="U10" s="22"/>
    </row>
    <row r="11" spans="1:21" ht="15.6" x14ac:dyDescent="0.3">
      <c r="A11" s="12"/>
      <c r="B11" s="1" t="s">
        <v>14</v>
      </c>
      <c r="C11" s="1" t="s">
        <v>15</v>
      </c>
      <c r="D11" s="13"/>
      <c r="E11" s="13"/>
      <c r="F11" s="3"/>
      <c r="G11" s="1" t="s">
        <v>18</v>
      </c>
      <c r="H11" s="1" t="s">
        <v>19</v>
      </c>
      <c r="I11" s="3"/>
      <c r="J11" s="3"/>
      <c r="K11" s="3"/>
      <c r="L11" s="3"/>
      <c r="M11" s="3"/>
      <c r="R11" s="1"/>
      <c r="S11" s="1" t="s">
        <v>15</v>
      </c>
      <c r="T11" s="1" t="s">
        <v>14</v>
      </c>
    </row>
    <row r="12" spans="1:21" ht="15.6" x14ac:dyDescent="0.3">
      <c r="A12" s="3" t="s">
        <v>26</v>
      </c>
      <c r="B12">
        <v>0</v>
      </c>
      <c r="C12" s="5">
        <f t="shared" ref="C12:C19" si="0">S12*B12</f>
        <v>0</v>
      </c>
      <c r="G12" s="1"/>
      <c r="H12" s="2"/>
      <c r="J12" s="1"/>
      <c r="K12" s="1"/>
      <c r="R12" s="1" t="s">
        <v>26</v>
      </c>
      <c r="S12" s="2">
        <v>2.5</v>
      </c>
      <c r="T12">
        <v>0</v>
      </c>
    </row>
    <row r="13" spans="1:21" ht="15.6" x14ac:dyDescent="0.3">
      <c r="A13" s="3" t="s">
        <v>27</v>
      </c>
      <c r="B13">
        <v>0</v>
      </c>
      <c r="C13" s="5">
        <f t="shared" si="0"/>
        <v>0</v>
      </c>
      <c r="H13" s="2"/>
      <c r="J13" s="6"/>
      <c r="K13" s="6"/>
      <c r="R13" s="1" t="s">
        <v>27</v>
      </c>
      <c r="S13" s="2">
        <v>13</v>
      </c>
      <c r="T13">
        <v>0</v>
      </c>
    </row>
    <row r="14" spans="1:21" ht="15.6" x14ac:dyDescent="0.3">
      <c r="A14" s="3" t="s">
        <v>2</v>
      </c>
      <c r="B14">
        <v>0</v>
      </c>
      <c r="C14" s="5">
        <f t="shared" si="0"/>
        <v>0</v>
      </c>
      <c r="H14" s="2"/>
      <c r="J14" s="6"/>
      <c r="K14" s="6"/>
      <c r="R14" s="1" t="s">
        <v>2</v>
      </c>
      <c r="S14" s="2">
        <v>5</v>
      </c>
      <c r="T14">
        <v>0</v>
      </c>
    </row>
    <row r="15" spans="1:21" ht="15.6" x14ac:dyDescent="0.3">
      <c r="A15" s="3" t="s">
        <v>3</v>
      </c>
      <c r="B15">
        <v>0</v>
      </c>
      <c r="C15" s="5">
        <f t="shared" si="0"/>
        <v>0</v>
      </c>
      <c r="H15" s="2"/>
      <c r="J15" s="6"/>
      <c r="K15" s="6"/>
      <c r="R15" s="1" t="s">
        <v>3</v>
      </c>
      <c r="S15" s="2">
        <v>3</v>
      </c>
      <c r="T15">
        <v>0</v>
      </c>
    </row>
    <row r="16" spans="1:21" ht="15.6" x14ac:dyDescent="0.3">
      <c r="A16" s="3" t="s">
        <v>4</v>
      </c>
      <c r="B16">
        <v>0</v>
      </c>
      <c r="C16" s="5">
        <f t="shared" si="0"/>
        <v>0</v>
      </c>
      <c r="H16" s="2"/>
      <c r="J16" s="6"/>
      <c r="K16" s="6"/>
      <c r="R16" s="1" t="s">
        <v>4</v>
      </c>
      <c r="S16" s="2">
        <v>2</v>
      </c>
      <c r="T16">
        <v>0</v>
      </c>
    </row>
    <row r="17" spans="1:20" ht="15.6" x14ac:dyDescent="0.3">
      <c r="A17" s="3" t="s">
        <v>5</v>
      </c>
      <c r="B17">
        <v>0</v>
      </c>
      <c r="C17" s="5">
        <f t="shared" si="0"/>
        <v>0</v>
      </c>
      <c r="H17" s="2"/>
      <c r="J17" s="6"/>
      <c r="K17" s="6"/>
      <c r="R17" s="1" t="s">
        <v>5</v>
      </c>
      <c r="S17" s="2">
        <v>1</v>
      </c>
      <c r="T17">
        <v>0</v>
      </c>
    </row>
    <row r="18" spans="1:20" ht="15.6" x14ac:dyDescent="0.3">
      <c r="A18" s="3" t="s">
        <v>6</v>
      </c>
      <c r="B18">
        <v>0</v>
      </c>
      <c r="C18" s="5">
        <f t="shared" si="0"/>
        <v>0</v>
      </c>
      <c r="H18" s="2"/>
      <c r="J18" s="6"/>
      <c r="K18" s="6"/>
      <c r="R18" s="1" t="s">
        <v>23</v>
      </c>
      <c r="S18" s="2">
        <v>1</v>
      </c>
      <c r="T18">
        <v>0</v>
      </c>
    </row>
    <row r="19" spans="1:20" ht="15.6" x14ac:dyDescent="0.3">
      <c r="A19" s="3" t="s">
        <v>7</v>
      </c>
      <c r="B19">
        <v>0</v>
      </c>
      <c r="C19" s="5">
        <f t="shared" si="0"/>
        <v>0</v>
      </c>
      <c r="H19" s="2"/>
      <c r="J19" s="6"/>
      <c r="K19" s="6"/>
      <c r="R19" s="1" t="s">
        <v>7</v>
      </c>
      <c r="S19" s="2">
        <v>2</v>
      </c>
      <c r="T19">
        <v>0</v>
      </c>
    </row>
    <row r="20" spans="1:20" ht="15.6" x14ac:dyDescent="0.3">
      <c r="A20" s="3" t="s">
        <v>8</v>
      </c>
      <c r="B20">
        <v>0</v>
      </c>
      <c r="C20" s="5">
        <f>B20*S20</f>
        <v>0</v>
      </c>
      <c r="H20" s="2"/>
      <c r="J20" s="6"/>
      <c r="K20" s="6"/>
      <c r="R20" s="1" t="s">
        <v>8</v>
      </c>
      <c r="S20" s="2">
        <v>1</v>
      </c>
      <c r="T20">
        <v>0</v>
      </c>
    </row>
    <row r="21" spans="1:20" ht="15.6" x14ac:dyDescent="0.3">
      <c r="A21" s="3" t="s">
        <v>9</v>
      </c>
      <c r="B21">
        <v>0</v>
      </c>
      <c r="C21" s="5">
        <f>B21*S21</f>
        <v>0</v>
      </c>
      <c r="G21" s="14"/>
      <c r="H21" s="2"/>
      <c r="J21" s="6"/>
      <c r="K21" s="6"/>
      <c r="M21" s="14"/>
      <c r="R21" s="1" t="s">
        <v>24</v>
      </c>
      <c r="S21" s="2">
        <v>5</v>
      </c>
      <c r="T21">
        <v>0</v>
      </c>
    </row>
    <row r="22" spans="1:20" ht="15.6" x14ac:dyDescent="0.3">
      <c r="A22" s="3" t="s">
        <v>10</v>
      </c>
      <c r="B22">
        <v>0</v>
      </c>
      <c r="C22" s="5">
        <f>B22*S22</f>
        <v>0</v>
      </c>
      <c r="H22" s="2"/>
      <c r="J22" s="6"/>
      <c r="K22" s="6"/>
      <c r="R22" s="1" t="s">
        <v>25</v>
      </c>
      <c r="S22" s="2">
        <v>5</v>
      </c>
      <c r="T22">
        <v>0</v>
      </c>
    </row>
    <row r="23" spans="1:20" ht="15.6" x14ac:dyDescent="0.3">
      <c r="A23" s="3" t="s">
        <v>29</v>
      </c>
      <c r="B23">
        <v>0</v>
      </c>
      <c r="C23" s="5">
        <f>S23*B23</f>
        <v>0</v>
      </c>
      <c r="H23" s="2"/>
      <c r="J23" s="6"/>
      <c r="K23" s="6"/>
      <c r="R23" s="1" t="s">
        <v>29</v>
      </c>
      <c r="S23" s="2">
        <v>8</v>
      </c>
      <c r="T23">
        <v>0</v>
      </c>
    </row>
    <row r="24" spans="1:20" ht="15.6" x14ac:dyDescent="0.3">
      <c r="A24" s="3" t="s">
        <v>37</v>
      </c>
      <c r="B24">
        <v>0</v>
      </c>
      <c r="C24" s="5">
        <f>S24*B24</f>
        <v>0</v>
      </c>
      <c r="H24" s="2"/>
      <c r="J24" s="6"/>
      <c r="K24" s="6"/>
      <c r="R24" s="1" t="s">
        <v>37</v>
      </c>
      <c r="S24" s="2">
        <v>6</v>
      </c>
      <c r="T24">
        <v>0</v>
      </c>
    </row>
    <row r="25" spans="1:20" ht="15.6" x14ac:dyDescent="0.3">
      <c r="A25" s="3"/>
      <c r="B25" s="4"/>
      <c r="C25" s="5"/>
      <c r="H25" s="2"/>
      <c r="J25" s="6"/>
      <c r="K25" s="6"/>
      <c r="R25" s="1" t="s">
        <v>11</v>
      </c>
      <c r="T25" s="2">
        <f>S13*T13+S14*T14+S15*T15+S16*T16+S17*T17+S18*T18+S19*T19+S20*T20+S21*T21+S22*T22+S23*T23+S12*T12+T24*S24</f>
        <v>0</v>
      </c>
    </row>
    <row r="26" spans="1:20" ht="15.6" x14ac:dyDescent="0.3">
      <c r="A26" s="3" t="s">
        <v>11</v>
      </c>
      <c r="B26" s="4"/>
      <c r="C26" s="5">
        <f>SUM(C12:C24)</f>
        <v>0</v>
      </c>
      <c r="H26" s="2"/>
      <c r="J26" s="6"/>
      <c r="K26" s="6"/>
    </row>
    <row r="27" spans="1:20" ht="15.6" x14ac:dyDescent="0.3">
      <c r="A27" s="3"/>
      <c r="B27" s="4"/>
      <c r="C27" s="5"/>
      <c r="J27" s="6"/>
      <c r="K27" s="6"/>
      <c r="R27" s="1" t="s">
        <v>21</v>
      </c>
      <c r="T27" s="2" t="s">
        <v>32</v>
      </c>
    </row>
    <row r="28" spans="1:20" ht="15.6" x14ac:dyDescent="0.3">
      <c r="A28" s="3" t="s">
        <v>12</v>
      </c>
      <c r="B28" s="4"/>
      <c r="C28" s="5">
        <f>SUM(H12:H27)</f>
        <v>0</v>
      </c>
      <c r="J28" s="6"/>
      <c r="K28" s="6"/>
    </row>
    <row r="29" spans="1:20" ht="15.6" x14ac:dyDescent="0.3">
      <c r="A29" s="3"/>
      <c r="B29" s="4"/>
      <c r="C29" s="5"/>
      <c r="J29" s="6"/>
      <c r="K29" s="6"/>
      <c r="R29" s="1" t="s">
        <v>22</v>
      </c>
      <c r="T29" s="20">
        <f>T27-T25</f>
        <v>0</v>
      </c>
    </row>
    <row r="30" spans="1:20" ht="15.6" x14ac:dyDescent="0.3">
      <c r="A30" s="3" t="s">
        <v>13</v>
      </c>
      <c r="B30" s="4"/>
      <c r="C30" s="5">
        <f>C26-C28</f>
        <v>0</v>
      </c>
      <c r="J30" s="6"/>
      <c r="K30" s="6"/>
    </row>
    <row r="31" spans="1:20" x14ac:dyDescent="0.3">
      <c r="J31" s="6"/>
      <c r="K31" s="6"/>
    </row>
    <row r="39" spans="25:25" ht="1.2" customHeight="1" x14ac:dyDescent="0.3"/>
    <row r="40" spans="25:25" ht="24" customHeight="1" x14ac:dyDescent="0.3">
      <c r="Y40" s="17"/>
    </row>
    <row r="41" spans="25:25" ht="87" customHeight="1" x14ac:dyDescent="0.3">
      <c r="Y41" s="9"/>
    </row>
    <row r="42" spans="25:25" ht="15.6" x14ac:dyDescent="0.3">
      <c r="Y42" s="18"/>
    </row>
    <row r="114" spans="26:54" ht="22.8" x14ac:dyDescent="0.3">
      <c r="Z114" s="11"/>
      <c r="AA114" s="11"/>
      <c r="AB114" s="11"/>
      <c r="AC114" s="11"/>
      <c r="AD114" s="11"/>
      <c r="AE114" s="11"/>
      <c r="AF114" s="11"/>
      <c r="AG114" s="11"/>
    </row>
    <row r="115" spans="26:54" ht="22.8" x14ac:dyDescent="0.3">
      <c r="Z115" s="11"/>
      <c r="AA115" s="11"/>
      <c r="AB115" s="11"/>
      <c r="AC115" s="9"/>
      <c r="AD115" s="9"/>
      <c r="AE115" s="9"/>
      <c r="AF115" s="9"/>
      <c r="AG115" s="9"/>
      <c r="BB115" s="11"/>
    </row>
    <row r="116" spans="26:54" ht="135" x14ac:dyDescent="0.4">
      <c r="Z116" s="19" t="s">
        <v>40</v>
      </c>
      <c r="AA116" s="19" t="s">
        <v>38</v>
      </c>
      <c r="AB116" s="19" t="s">
        <v>36</v>
      </c>
      <c r="AC116" s="19" t="s">
        <v>28</v>
      </c>
      <c r="AD116" s="19" t="s">
        <v>39</v>
      </c>
      <c r="AE116" s="19" t="s">
        <v>33</v>
      </c>
      <c r="AF116" s="19" t="s">
        <v>30</v>
      </c>
      <c r="AG116" s="19" t="s">
        <v>34</v>
      </c>
      <c r="BB116" s="10"/>
    </row>
  </sheetData>
  <dataConsolidate/>
  <mergeCells count="10">
    <mergeCell ref="R10:U10"/>
    <mergeCell ref="A1:B5"/>
    <mergeCell ref="A8:C8"/>
    <mergeCell ref="A9:C9"/>
    <mergeCell ref="A10:C10"/>
    <mergeCell ref="G10:H10"/>
    <mergeCell ref="C1:I5"/>
    <mergeCell ref="A6:I7"/>
    <mergeCell ref="D8:I8"/>
    <mergeCell ref="D9:I9"/>
  </mergeCells>
  <pageMargins left="0.25" right="0.25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Fogli di lavoro</vt:lpstr>
      </vt:variant>
      <vt:variant>
        <vt:i4>1</vt:i4>
      </vt:variant>
      <vt:variant>
        <vt:lpstr>Intervalli denominati</vt:lpstr>
      </vt:variant>
      <vt:variant>
        <vt:i4>1</vt:i4>
      </vt:variant>
    </vt:vector>
  </HeadingPairs>
  <TitlesOfParts>
    <vt:vector size="2" baseType="lpstr">
      <vt:lpstr>Foglio1</vt:lpstr>
      <vt:lpstr>Foglio1!Area_stampa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antonio di bella</dc:creator>
  <cp:lastModifiedBy>Pietro Pugliese</cp:lastModifiedBy>
  <cp:lastPrinted>2023-08-06T10:21:40Z</cp:lastPrinted>
  <dcterms:created xsi:type="dcterms:W3CDTF">2018-07-23T20:58:40Z</dcterms:created>
  <dcterms:modified xsi:type="dcterms:W3CDTF">2023-08-06T10:22:29Z</dcterms:modified>
</cp:coreProperties>
</file>